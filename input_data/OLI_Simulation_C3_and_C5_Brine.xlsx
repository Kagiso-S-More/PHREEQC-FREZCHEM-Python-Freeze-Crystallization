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dst-my.sharepoint.com/personal/60107816_udst_edu_qa/Documents/Freeze Crystallization/Freeze Crystallization Simulation/Results/"/>
    </mc:Choice>
  </mc:AlternateContent>
  <xr:revisionPtr revIDLastSave="4" documentId="13_ncr:1_{E7092B98-581C-4076-A24B-7C7499BA2740}" xr6:coauthVersionLast="47" xr6:coauthVersionMax="47" xr10:uidLastSave="{C0EB242F-0154-44BB-8F8E-8D7A6C9E42E8}"/>
  <bookViews>
    <workbookView xWindow="-108" yWindow="-108" windowWidth="23256" windowHeight="12456" xr2:uid="{FB1C5AE0-7EA3-402B-BD28-9FBCD5FBFD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1" l="1"/>
  <c r="P26" i="1"/>
  <c r="P25" i="1"/>
  <c r="P24" i="1"/>
  <c r="P23" i="1"/>
  <c r="P22" i="1"/>
  <c r="P21" i="1"/>
  <c r="P20" i="1"/>
  <c r="P19" i="1"/>
  <c r="P18" i="1"/>
  <c r="P17" i="1"/>
  <c r="P13" i="1"/>
</calcChain>
</file>

<file path=xl/sharedStrings.xml><?xml version="1.0" encoding="utf-8"?>
<sst xmlns="http://schemas.openxmlformats.org/spreadsheetml/2006/main" count="40" uniqueCount="21">
  <si>
    <t>Temperature [Â°C]</t>
  </si>
  <si>
    <t>Mass - Solid [g]</t>
  </si>
  <si>
    <t>Mass - Liquid-1 [g]</t>
  </si>
  <si>
    <t>pH (Y2)</t>
  </si>
  <si>
    <t>S(+6) Liq1 [g] (Y2)</t>
  </si>
  <si>
    <t>NaCl.2H2O (hydrohalite) [g] (Y2)</t>
  </si>
  <si>
    <t>Na2SO4.10H2O (Mirabilite) [g] (Y2)</t>
  </si>
  <si>
    <t>Na(+1) Liq1 [g] (Y2)</t>
  </si>
  <si>
    <t>Mg(+2) Liq1 [g] (Y2)</t>
  </si>
  <si>
    <t>K(+1) Liq1 [g] (Y2)</t>
  </si>
  <si>
    <t>H2O - Sol [g] (Y2)</t>
  </si>
  <si>
    <t>Cl(-1) Liq1 [g] (Y2)</t>
  </si>
  <si>
    <t>CaSO4.2H2O (Gypsum) [g] (Y2)</t>
  </si>
  <si>
    <t>CaCO3 (Calcite) - Sol [g] (Y2)</t>
  </si>
  <si>
    <t>Ca(+2) Liq1 [g] (Y2)</t>
  </si>
  <si>
    <t>C(+4) Liq1 [g] (Y2)</t>
  </si>
  <si>
    <t>Br(-1) Liq1 [g] (Y2)</t>
  </si>
  <si>
    <t>Water C5</t>
  </si>
  <si>
    <t>Water C3</t>
  </si>
  <si>
    <t>H2O [g] (Y2)</t>
  </si>
  <si>
    <t>SO4(2-) Liq1 [g] (Y2)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</si>
</sst>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4" fontId="0" fillId="0" borderId="0" xfId="0" applyNumberFormat="1" applyAlignment="1">
      <alignment textRotation="90" wrapText="1"/>
    </xf>
    <xf numFmtId="4" fontId="0" fillId="0" borderId="1" xfId="0" applyNumberFormat="1" applyBorder="1" applyAlignment="1">
      <alignment textRotation="90" wrapText="1"/>
    </xf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FC14A-12FA-4EF4-8614-5593996990F3}">
  <dimension ref="A1:S27"/>
  <sheetViews>
    <sheetView tabSelected="1" topLeftCell="A2" zoomScale="89" zoomScaleNormal="89" workbookViewId="0">
      <selection activeCell="V6" sqref="V6"/>
    </sheetView>
  </sheetViews>
  <sheetFormatPr defaultColWidth="9.109375" defaultRowHeight="14.4" x14ac:dyDescent="0.3"/>
  <cols>
    <col min="1" max="2" width="9.33203125" style="1" bestFit="1" customWidth="1"/>
    <col min="3" max="3" width="21.109375" style="1" bestFit="1" customWidth="1"/>
    <col min="4" max="6" width="10.5546875" style="1" bestFit="1" customWidth="1"/>
    <col min="7" max="9" width="9.33203125" style="1" bestFit="1" customWidth="1"/>
    <col min="10" max="10" width="9.109375" style="1"/>
    <col min="11" max="11" width="9.44140625" style="1" bestFit="1" customWidth="1"/>
    <col min="12" max="12" width="9.33203125" style="1" bestFit="1" customWidth="1"/>
    <col min="13" max="13" width="9.44140625" style="1" bestFit="1" customWidth="1"/>
    <col min="14" max="14" width="9.33203125" style="1" bestFit="1" customWidth="1"/>
    <col min="15" max="15" width="9.44140625" style="1" bestFit="1" customWidth="1"/>
    <col min="16" max="16" width="9.44140625" style="1" customWidth="1"/>
    <col min="17" max="17" width="9.33203125" style="1" bestFit="1" customWidth="1"/>
    <col min="18" max="18" width="9.5546875" style="1" customWidth="1"/>
    <col min="19" max="19" width="9.33203125" style="1" bestFit="1" customWidth="1"/>
    <col min="20" max="16384" width="9.109375" style="1"/>
  </cols>
  <sheetData>
    <row r="1" spans="1:19" x14ac:dyDescent="0.3">
      <c r="A1" s="1" t="s">
        <v>18</v>
      </c>
      <c r="P1" s="2"/>
    </row>
    <row r="2" spans="1:19" s="2" customFormat="1" ht="67.2" x14ac:dyDescent="0.3">
      <c r="A2" s="3" t="s">
        <v>0</v>
      </c>
      <c r="B2" s="3" t="s">
        <v>3</v>
      </c>
      <c r="C2" s="3" t="s">
        <v>10</v>
      </c>
      <c r="D2" s="3" t="s">
        <v>19</v>
      </c>
      <c r="E2" s="3" t="s">
        <v>6</v>
      </c>
      <c r="F2" s="3" t="s">
        <v>5</v>
      </c>
      <c r="G2" s="3" t="s">
        <v>12</v>
      </c>
      <c r="H2" s="3" t="s">
        <v>13</v>
      </c>
      <c r="I2" s="3" t="s">
        <v>1</v>
      </c>
      <c r="J2" s="3" t="s">
        <v>2</v>
      </c>
      <c r="K2" s="3" t="s">
        <v>7</v>
      </c>
      <c r="L2" s="3" t="s">
        <v>9</v>
      </c>
      <c r="M2" s="3" t="s">
        <v>8</v>
      </c>
      <c r="N2" s="3" t="s">
        <v>14</v>
      </c>
      <c r="O2" s="3" t="s">
        <v>11</v>
      </c>
      <c r="P2" s="3" t="s">
        <v>20</v>
      </c>
      <c r="Q2" s="3" t="s">
        <v>15</v>
      </c>
      <c r="R2" s="3" t="s">
        <v>16</v>
      </c>
      <c r="S2" s="3" t="s">
        <v>4</v>
      </c>
    </row>
    <row r="3" spans="1:19" x14ac:dyDescent="0.3">
      <c r="A3" s="4">
        <v>25</v>
      </c>
      <c r="B3" s="4">
        <v>7.0437218807553004</v>
      </c>
      <c r="C3" s="4">
        <v>0</v>
      </c>
      <c r="D3" s="4">
        <v>977.60729169444005</v>
      </c>
      <c r="E3" s="4">
        <v>0</v>
      </c>
      <c r="F3" s="4">
        <v>0</v>
      </c>
      <c r="G3" s="4">
        <v>0</v>
      </c>
      <c r="H3" s="4">
        <v>2.8928088872648999E-2</v>
      </c>
      <c r="I3" s="4">
        <v>2.8928088005563998E-2</v>
      </c>
      <c r="J3" s="4">
        <v>1049.4917391713</v>
      </c>
      <c r="K3" s="4">
        <v>21.723129291736001</v>
      </c>
      <c r="L3" s="4">
        <v>0.82499999999999996</v>
      </c>
      <c r="M3" s="4">
        <v>2.76</v>
      </c>
      <c r="N3" s="4">
        <v>0.94541631373652002</v>
      </c>
      <c r="O3" s="4">
        <v>39.645052152472999</v>
      </c>
      <c r="P3" s="4">
        <v>5.6008254236421005</v>
      </c>
      <c r="Q3" s="4">
        <v>4.7905660019026998E-2</v>
      </c>
      <c r="R3" s="4">
        <v>0.152</v>
      </c>
      <c r="S3" s="4">
        <v>1.8669418078538</v>
      </c>
    </row>
    <row r="4" spans="1:19" x14ac:dyDescent="0.3">
      <c r="A4" s="4">
        <v>20</v>
      </c>
      <c r="B4" s="4">
        <v>7.1090060362097001</v>
      </c>
      <c r="C4" s="4">
        <v>0</v>
      </c>
      <c r="D4" s="4">
        <v>977.60688027720005</v>
      </c>
      <c r="E4" s="4">
        <v>0</v>
      </c>
      <c r="F4" s="4">
        <v>0</v>
      </c>
      <c r="G4" s="4">
        <v>0</v>
      </c>
      <c r="H4" s="4">
        <v>2.6660986886066999E-2</v>
      </c>
      <c r="I4" s="4">
        <v>2.6660986086934998E-2</v>
      </c>
      <c r="J4" s="4">
        <v>1049.4940062733001</v>
      </c>
      <c r="K4" s="4">
        <v>21.723129291738999</v>
      </c>
      <c r="L4" s="4">
        <v>0.82500000000031004</v>
      </c>
      <c r="M4" s="4">
        <v>2.7600000000071998</v>
      </c>
      <c r="N4" s="4">
        <v>0.94632413029750995</v>
      </c>
      <c r="O4" s="4">
        <v>39.645052152472999</v>
      </c>
      <c r="P4" s="4">
        <v>5.6008254235613997</v>
      </c>
      <c r="Q4" s="4">
        <v>4.8177726383649998E-2</v>
      </c>
      <c r="R4" s="4">
        <v>0.152</v>
      </c>
      <c r="S4" s="4">
        <v>1.8669418078807001</v>
      </c>
    </row>
    <row r="5" spans="1:19" x14ac:dyDescent="0.3">
      <c r="A5" s="4">
        <v>15</v>
      </c>
      <c r="B5" s="4">
        <v>7.1768986651304996</v>
      </c>
      <c r="C5" s="4">
        <v>0</v>
      </c>
      <c r="D5" s="4">
        <v>977.60652870573006</v>
      </c>
      <c r="E5" s="4">
        <v>0</v>
      </c>
      <c r="F5" s="4">
        <v>0</v>
      </c>
      <c r="G5" s="4">
        <v>0</v>
      </c>
      <c r="H5" s="4">
        <v>2.4742734096002E-2</v>
      </c>
      <c r="I5" s="4">
        <v>2.4742733354367E-2</v>
      </c>
      <c r="J5" s="4">
        <v>1049.495924526</v>
      </c>
      <c r="K5" s="4">
        <v>21.723129291736001</v>
      </c>
      <c r="L5" s="4">
        <v>0.82499999999999996</v>
      </c>
      <c r="M5" s="4">
        <v>2.76</v>
      </c>
      <c r="N5" s="4">
        <v>0.94709225703327005</v>
      </c>
      <c r="O5" s="4">
        <v>39.645052152472999</v>
      </c>
      <c r="P5" s="4">
        <v>5.6008254235613997</v>
      </c>
      <c r="Q5" s="4">
        <v>4.8407928671002999E-2</v>
      </c>
      <c r="R5" s="4">
        <v>0.152</v>
      </c>
      <c r="S5" s="4">
        <v>1.8669418078538</v>
      </c>
    </row>
    <row r="6" spans="1:19" x14ac:dyDescent="0.3">
      <c r="A6" s="4">
        <v>10</v>
      </c>
      <c r="B6" s="4">
        <v>7.2471806066192004</v>
      </c>
      <c r="C6" s="4">
        <v>0</v>
      </c>
      <c r="D6" s="4">
        <v>977.60624014478003</v>
      </c>
      <c r="E6" s="4">
        <v>0</v>
      </c>
      <c r="F6" s="4">
        <v>0</v>
      </c>
      <c r="G6" s="4">
        <v>0</v>
      </c>
      <c r="H6" s="4">
        <v>2.3195462419848E-2</v>
      </c>
      <c r="I6" s="4">
        <v>2.3195461724590999E-2</v>
      </c>
      <c r="J6" s="4">
        <v>1049.4974717975999</v>
      </c>
      <c r="K6" s="4">
        <v>21.723129291736001</v>
      </c>
      <c r="L6" s="4">
        <v>0.82499999999999996</v>
      </c>
      <c r="M6" s="4">
        <v>2.76</v>
      </c>
      <c r="N6" s="4">
        <v>0.94771183165294004</v>
      </c>
      <c r="O6" s="4">
        <v>39.645052152472999</v>
      </c>
      <c r="P6" s="4">
        <v>5.6008254235613997</v>
      </c>
      <c r="Q6" s="4">
        <v>4.8593610913129998E-2</v>
      </c>
      <c r="R6" s="4">
        <v>0.152</v>
      </c>
      <c r="S6" s="4">
        <v>1.8669418078538</v>
      </c>
    </row>
    <row r="7" spans="1:19" x14ac:dyDescent="0.3">
      <c r="A7" s="4">
        <v>5</v>
      </c>
      <c r="B7" s="4">
        <v>7.3195312704306996</v>
      </c>
      <c r="C7" s="4">
        <v>0</v>
      </c>
      <c r="D7" s="4">
        <v>977.60601977731005</v>
      </c>
      <c r="E7" s="4">
        <v>0</v>
      </c>
      <c r="F7" s="4">
        <v>0</v>
      </c>
      <c r="G7" s="4">
        <v>0</v>
      </c>
      <c r="H7" s="4">
        <v>2.2054084697010999E-2</v>
      </c>
      <c r="I7" s="4">
        <v>2.2054084035965999E-2</v>
      </c>
      <c r="J7" s="4">
        <v>1049.4986131753001</v>
      </c>
      <c r="K7" s="4">
        <v>21.723129291736001</v>
      </c>
      <c r="L7" s="4">
        <v>0.82499999999999996</v>
      </c>
      <c r="M7" s="4">
        <v>2.76</v>
      </c>
      <c r="N7" s="4">
        <v>0.94816887399361005</v>
      </c>
      <c r="O7" s="4">
        <v>39.645052152472999</v>
      </c>
      <c r="P7" s="4">
        <v>5.6008254235613997</v>
      </c>
      <c r="Q7" s="4">
        <v>4.8730583351749998E-2</v>
      </c>
      <c r="R7" s="4">
        <v>0.152</v>
      </c>
      <c r="S7" s="4">
        <v>1.8669418078538</v>
      </c>
    </row>
    <row r="8" spans="1:19" x14ac:dyDescent="0.3">
      <c r="A8" s="4">
        <v>0</v>
      </c>
      <c r="B8" s="4">
        <v>7.3934876512523999</v>
      </c>
      <c r="C8" s="4">
        <v>0</v>
      </c>
      <c r="D8" s="4">
        <v>977.60587636090997</v>
      </c>
      <c r="E8" s="4">
        <v>0</v>
      </c>
      <c r="F8" s="4">
        <v>0</v>
      </c>
      <c r="G8" s="4">
        <v>0</v>
      </c>
      <c r="H8" s="4">
        <v>2.1375204806493998E-2</v>
      </c>
      <c r="I8" s="4">
        <v>2.1375204165796999E-2</v>
      </c>
      <c r="J8" s="4">
        <v>1049.4992920551999</v>
      </c>
      <c r="K8" s="4">
        <v>21.723129291736001</v>
      </c>
      <c r="L8" s="4">
        <v>0.82499999999999996</v>
      </c>
      <c r="M8" s="4">
        <v>2.76</v>
      </c>
      <c r="N8" s="4">
        <v>0.94844071814124997</v>
      </c>
      <c r="O8" s="4">
        <v>39.645052152472999</v>
      </c>
      <c r="P8" s="4">
        <v>5.6008254235583994</v>
      </c>
      <c r="Q8" s="4">
        <v>4.8812053168684998E-2</v>
      </c>
      <c r="R8" s="4">
        <v>0.152</v>
      </c>
      <c r="S8" s="4">
        <v>1.8669418078538</v>
      </c>
    </row>
    <row r="9" spans="1:19" x14ac:dyDescent="0.3">
      <c r="A9" s="4">
        <v>-5</v>
      </c>
      <c r="B9" s="4">
        <v>7.3073090758096004</v>
      </c>
      <c r="C9" s="4">
        <v>189.18584119161</v>
      </c>
      <c r="D9" s="4">
        <v>788.42123178293002</v>
      </c>
      <c r="E9" s="4">
        <v>0</v>
      </c>
      <c r="F9" s="4">
        <v>0</v>
      </c>
      <c r="G9" s="4">
        <v>0</v>
      </c>
      <c r="H9" s="4">
        <v>2.8835844496013001E-2</v>
      </c>
      <c r="I9" s="4">
        <v>189.21529661632999</v>
      </c>
      <c r="J9" s="4">
        <v>860.30537064301996</v>
      </c>
      <c r="K9" s="4">
        <v>21.723129291717001</v>
      </c>
      <c r="L9" s="4">
        <v>0.82499999999948004</v>
      </c>
      <c r="M9" s="4">
        <v>2.7599999999980001</v>
      </c>
      <c r="N9" s="4">
        <v>0.94545325118856005</v>
      </c>
      <c r="O9" s="4">
        <v>39.645052152439</v>
      </c>
      <c r="P9" s="4">
        <v>1.9551568973289601</v>
      </c>
      <c r="Q9" s="4">
        <v>4.7916729919019997E-2</v>
      </c>
      <c r="R9" s="4">
        <v>0.15199999999986999</v>
      </c>
      <c r="S9" s="4">
        <v>1.8669418078528</v>
      </c>
    </row>
    <row r="10" spans="1:19" x14ac:dyDescent="0.3">
      <c r="A10" s="4">
        <v>-10</v>
      </c>
      <c r="B10" s="4">
        <v>6.7926847462030997</v>
      </c>
      <c r="C10" s="4">
        <v>553.98912991645</v>
      </c>
      <c r="D10" s="4">
        <v>416.79775453017999</v>
      </c>
      <c r="E10" s="4">
        <v>12.210473540893</v>
      </c>
      <c r="F10" s="4">
        <v>0</v>
      </c>
      <c r="G10" s="4">
        <v>0</v>
      </c>
      <c r="H10" s="4">
        <v>7.0091751931831994E-2</v>
      </c>
      <c r="I10" s="4">
        <v>566.27153490548994</v>
      </c>
      <c r="J10" s="4">
        <v>483.24913235384997</v>
      </c>
      <c r="K10" s="4">
        <v>19.980600046003001</v>
      </c>
      <c r="L10" s="4">
        <v>0.82499999999999996</v>
      </c>
      <c r="M10" s="4">
        <v>2.76</v>
      </c>
      <c r="N10" s="4">
        <v>0.92893313157980995</v>
      </c>
      <c r="O10" s="4">
        <v>39.645052152472999</v>
      </c>
      <c r="P10" s="4">
        <v>0.74713904636594997</v>
      </c>
      <c r="Q10" s="4">
        <v>4.2965763962778999E-2</v>
      </c>
      <c r="R10" s="4">
        <v>0.152</v>
      </c>
      <c r="S10" s="4">
        <v>0.65171896577632005</v>
      </c>
    </row>
    <row r="11" spans="1:19" x14ac:dyDescent="0.3">
      <c r="A11" s="4">
        <v>-15</v>
      </c>
      <c r="B11" s="4">
        <v>6.5032904637250999</v>
      </c>
      <c r="C11" s="4">
        <v>670.10596214776001</v>
      </c>
      <c r="D11" s="4">
        <v>298.42469622073003</v>
      </c>
      <c r="E11" s="4">
        <v>16.256499640131</v>
      </c>
      <c r="F11" s="4">
        <v>0</v>
      </c>
      <c r="G11" s="4">
        <v>0</v>
      </c>
      <c r="H11" s="4">
        <v>0.10407675474074</v>
      </c>
      <c r="I11" s="4">
        <v>686.46876693250999</v>
      </c>
      <c r="J11" s="4">
        <v>363.05190032684999</v>
      </c>
      <c r="K11" s="4">
        <v>19.403200751593001</v>
      </c>
      <c r="L11" s="4">
        <v>0.82499999999995999</v>
      </c>
      <c r="M11" s="4">
        <v>2.7599999999998999</v>
      </c>
      <c r="N11" s="4">
        <v>0.91532450323470005</v>
      </c>
      <c r="O11" s="4">
        <v>39.645052152471003</v>
      </c>
      <c r="P11" s="4">
        <v>0.3572801790663</v>
      </c>
      <c r="Q11" s="4">
        <v>3.8887351866598002E-2</v>
      </c>
      <c r="R11" s="4">
        <v>0.15199999999999</v>
      </c>
      <c r="S11" s="4">
        <v>0.24904634878865001</v>
      </c>
    </row>
    <row r="12" spans="1:19" x14ac:dyDescent="0.3">
      <c r="A12" s="4">
        <v>-20</v>
      </c>
      <c r="B12" s="4">
        <v>6.3072078793306003</v>
      </c>
      <c r="C12" s="4">
        <v>728.28383375406997</v>
      </c>
      <c r="D12" s="4">
        <v>239.52160282331999</v>
      </c>
      <c r="E12" s="4">
        <v>17.562257788299998</v>
      </c>
      <c r="F12" s="4">
        <v>0</v>
      </c>
      <c r="G12" s="4">
        <v>0</v>
      </c>
      <c r="H12" s="4">
        <v>0.13120581960175001</v>
      </c>
      <c r="I12" s="4">
        <v>745.97971899806998</v>
      </c>
      <c r="J12" s="4">
        <v>303.54094826126999</v>
      </c>
      <c r="K12" s="4">
        <v>19.216858939917</v>
      </c>
      <c r="L12" s="4">
        <v>0.82499999999999996</v>
      </c>
      <c r="M12" s="4">
        <v>2.76</v>
      </c>
      <c r="N12" s="4">
        <v>0.90446120087987003</v>
      </c>
      <c r="O12" s="4">
        <v>39.645052152472999</v>
      </c>
      <c r="P12" s="4">
        <v>0.132097310127339</v>
      </c>
      <c r="Q12" s="4">
        <v>3.5631695043066999E-2</v>
      </c>
      <c r="R12" s="4">
        <v>0.152</v>
      </c>
      <c r="S12" s="4">
        <v>0.11909339302209999</v>
      </c>
    </row>
    <row r="13" spans="1:19" x14ac:dyDescent="0.3">
      <c r="A13" s="4">
        <v>-25</v>
      </c>
      <c r="B13" s="4">
        <v>6.0828859515911997</v>
      </c>
      <c r="C13" s="4">
        <v>844.16538303950006</v>
      </c>
      <c r="D13" s="4">
        <v>104.49261384410001</v>
      </c>
      <c r="E13" s="4">
        <v>14.264564701592001</v>
      </c>
      <c r="F13" s="4">
        <v>53.867830077374002</v>
      </c>
      <c r="G13" s="4">
        <v>2.1652128703181002</v>
      </c>
      <c r="H13" s="4">
        <v>0.16558323660881999</v>
      </c>
      <c r="I13" s="4">
        <v>914.63148253205998</v>
      </c>
      <c r="J13" s="4">
        <v>134.88918472728</v>
      </c>
      <c r="K13" s="4">
        <v>6.5788149872614996</v>
      </c>
      <c r="L13" s="4">
        <v>0.82499999999999996</v>
      </c>
      <c r="M13" s="4">
        <v>2.76</v>
      </c>
      <c r="N13" s="4">
        <v>0.38668053077885001</v>
      </c>
      <c r="O13" s="4">
        <v>19.430134064928001</v>
      </c>
      <c r="P13" s="4">
        <f>+S13*3</f>
        <v>0.132097310127339</v>
      </c>
      <c r="Q13" s="4">
        <v>3.1506190797900999E-2</v>
      </c>
      <c r="R13" s="4">
        <v>0.152</v>
      </c>
      <c r="S13" s="4">
        <v>4.4032436709112999E-2</v>
      </c>
    </row>
    <row r="15" spans="1:19" x14ac:dyDescent="0.3">
      <c r="A15" s="1" t="s">
        <v>17</v>
      </c>
    </row>
    <row r="16" spans="1:19" s="2" customFormat="1" ht="67.2" x14ac:dyDescent="0.3">
      <c r="A16" s="3" t="s">
        <v>0</v>
      </c>
      <c r="B16" s="3" t="s">
        <v>3</v>
      </c>
      <c r="C16" s="3" t="s">
        <v>10</v>
      </c>
      <c r="D16" s="3" t="s">
        <v>19</v>
      </c>
      <c r="E16" s="3" t="s">
        <v>6</v>
      </c>
      <c r="F16" s="3" t="s">
        <v>5</v>
      </c>
      <c r="G16" s="3" t="s">
        <v>12</v>
      </c>
      <c r="H16" s="3" t="s">
        <v>13</v>
      </c>
      <c r="I16" s="3" t="s">
        <v>1</v>
      </c>
      <c r="J16" s="3" t="s">
        <v>2</v>
      </c>
      <c r="K16" s="3" t="s">
        <v>7</v>
      </c>
      <c r="L16" s="3" t="s">
        <v>9</v>
      </c>
      <c r="M16" s="3" t="s">
        <v>8</v>
      </c>
      <c r="N16" s="3" t="s">
        <v>14</v>
      </c>
      <c r="O16" s="3" t="s">
        <v>11</v>
      </c>
      <c r="P16" s="3" t="s">
        <v>20</v>
      </c>
      <c r="Q16" s="3" t="s">
        <v>15</v>
      </c>
      <c r="R16" s="3" t="s">
        <v>16</v>
      </c>
      <c r="S16" s="3" t="s">
        <v>4</v>
      </c>
    </row>
    <row r="17" spans="1:19" x14ac:dyDescent="0.3">
      <c r="A17" s="4">
        <v>25</v>
      </c>
      <c r="B17" s="4">
        <v>7.3779251344301997</v>
      </c>
      <c r="C17" s="4">
        <v>0</v>
      </c>
      <c r="D17" s="4">
        <v>981.22167471170997</v>
      </c>
      <c r="E17" s="4">
        <v>0</v>
      </c>
      <c r="F17" s="4">
        <v>0</v>
      </c>
      <c r="G17" s="4">
        <v>0</v>
      </c>
      <c r="H17" s="4">
        <v>6.9615539008572999E-3</v>
      </c>
      <c r="I17" s="4">
        <v>6.9615536921928001E-3</v>
      </c>
      <c r="J17" s="4">
        <v>1039.2077712424</v>
      </c>
      <c r="K17" s="4">
        <v>18.400025091922</v>
      </c>
      <c r="L17" s="4">
        <v>0.56000000000001005</v>
      </c>
      <c r="M17" s="4">
        <v>1.9197</v>
      </c>
      <c r="N17" s="4">
        <v>0.55721238217123004</v>
      </c>
      <c r="O17" s="4">
        <v>32.717489999999998</v>
      </c>
      <c r="P17" s="4">
        <f t="shared" ref="P17:P27" si="0">+S17*3</f>
        <v>3.5048970109896</v>
      </c>
      <c r="Q17" s="4">
        <v>3.3986902009671999E-2</v>
      </c>
      <c r="R17" s="4">
        <v>0.15790000000000001</v>
      </c>
      <c r="S17" s="4">
        <v>1.1682990036631999</v>
      </c>
    </row>
    <row r="18" spans="1:19" x14ac:dyDescent="0.3">
      <c r="A18" s="4">
        <v>20</v>
      </c>
      <c r="B18" s="4">
        <v>7.4454083743599</v>
      </c>
      <c r="C18" s="4">
        <v>0</v>
      </c>
      <c r="D18" s="4">
        <v>981.22151003980002</v>
      </c>
      <c r="E18" s="4">
        <v>0</v>
      </c>
      <c r="F18" s="4">
        <v>0</v>
      </c>
      <c r="G18" s="4">
        <v>0</v>
      </c>
      <c r="H18" s="4">
        <v>6.0290893376258002E-3</v>
      </c>
      <c r="I18" s="4">
        <v>6.0290891569108997E-3</v>
      </c>
      <c r="J18" s="4">
        <v>1039.208703707</v>
      </c>
      <c r="K18" s="4">
        <v>18.400025091922</v>
      </c>
      <c r="L18" s="4">
        <v>0.56000000000000005</v>
      </c>
      <c r="M18" s="4">
        <v>1.9197</v>
      </c>
      <c r="N18" s="4">
        <v>0.55758576933135995</v>
      </c>
      <c r="O18" s="4">
        <v>32.717489999999998</v>
      </c>
      <c r="P18" s="4">
        <f t="shared" si="0"/>
        <v>3.5048970109896</v>
      </c>
      <c r="Q18" s="4">
        <v>3.4098803567408E-2</v>
      </c>
      <c r="R18" s="4">
        <v>0.15790000000000001</v>
      </c>
      <c r="S18" s="4">
        <v>1.1682990036631999</v>
      </c>
    </row>
    <row r="19" spans="1:19" x14ac:dyDescent="0.3">
      <c r="A19" s="4">
        <v>15</v>
      </c>
      <c r="B19" s="4">
        <v>7.5149390628496997</v>
      </c>
      <c r="C19" s="4">
        <v>0</v>
      </c>
      <c r="D19" s="4">
        <v>981.22137316583996</v>
      </c>
      <c r="E19" s="4">
        <v>0</v>
      </c>
      <c r="F19" s="4">
        <v>0</v>
      </c>
      <c r="G19" s="4">
        <v>0</v>
      </c>
      <c r="H19" s="4">
        <v>5.2734499547975999E-3</v>
      </c>
      <c r="I19" s="4">
        <v>5.2734497967320002E-3</v>
      </c>
      <c r="J19" s="4">
        <v>1039.2094593463</v>
      </c>
      <c r="K19" s="4">
        <v>18.400025091922</v>
      </c>
      <c r="L19" s="4">
        <v>0.56000000000001005</v>
      </c>
      <c r="M19" s="4">
        <v>1.9197</v>
      </c>
      <c r="N19" s="4">
        <v>0.55788835031338002</v>
      </c>
      <c r="O19" s="4">
        <v>32.717489999999998</v>
      </c>
      <c r="P19" s="4">
        <f t="shared" si="0"/>
        <v>3.5048970109896</v>
      </c>
      <c r="Q19" s="4">
        <v>3.4189485001708E-2</v>
      </c>
      <c r="R19" s="4">
        <v>0.15790000000000001</v>
      </c>
      <c r="S19" s="4">
        <v>1.1682990036631999</v>
      </c>
    </row>
    <row r="20" spans="1:19" x14ac:dyDescent="0.3">
      <c r="A20" s="4">
        <v>10</v>
      </c>
      <c r="B20" s="4">
        <v>7.5862674397554004</v>
      </c>
      <c r="C20" s="4">
        <v>0</v>
      </c>
      <c r="D20" s="4">
        <v>981.22126414699005</v>
      </c>
      <c r="E20" s="4">
        <v>0</v>
      </c>
      <c r="F20" s="4">
        <v>0</v>
      </c>
      <c r="G20" s="4">
        <v>0</v>
      </c>
      <c r="H20" s="4">
        <v>4.7018621011728004E-3</v>
      </c>
      <c r="I20" s="4">
        <v>4.7018619602400002E-3</v>
      </c>
      <c r="J20" s="4">
        <v>1039.2100309341999</v>
      </c>
      <c r="K20" s="4">
        <v>18.400025091922</v>
      </c>
      <c r="L20" s="4">
        <v>0.56000000000000005</v>
      </c>
      <c r="M20" s="4">
        <v>1.9197</v>
      </c>
      <c r="N20" s="4">
        <v>0.55811723146753001</v>
      </c>
      <c r="O20" s="4">
        <v>32.717489999999998</v>
      </c>
      <c r="P20" s="4">
        <f t="shared" si="0"/>
        <v>3.5048970109896</v>
      </c>
      <c r="Q20" s="4">
        <v>3.4258079105684E-2</v>
      </c>
      <c r="R20" s="4">
        <v>0.15790000000000001</v>
      </c>
      <c r="S20" s="4">
        <v>1.1682990036631999</v>
      </c>
    </row>
    <row r="21" spans="1:19" x14ac:dyDescent="0.3">
      <c r="A21" s="4">
        <v>5</v>
      </c>
      <c r="B21" s="4">
        <v>7.6590358533396001</v>
      </c>
      <c r="C21" s="4">
        <v>0</v>
      </c>
      <c r="D21" s="4">
        <v>981.22118407592995</v>
      </c>
      <c r="E21" s="4">
        <v>0</v>
      </c>
      <c r="F21" s="4">
        <v>0</v>
      </c>
      <c r="G21" s="4">
        <v>0</v>
      </c>
      <c r="H21" s="4">
        <v>4.3291911055968997E-3</v>
      </c>
      <c r="I21" s="4">
        <v>4.3291909758344004E-3</v>
      </c>
      <c r="J21" s="4">
        <v>1039.2104036052001</v>
      </c>
      <c r="K21" s="4">
        <v>18.400025091922</v>
      </c>
      <c r="L21" s="4">
        <v>0.56000000000000005</v>
      </c>
      <c r="M21" s="4">
        <v>1.9197</v>
      </c>
      <c r="N21" s="4">
        <v>0.55826646026419002</v>
      </c>
      <c r="O21" s="4">
        <v>32.717489999999998</v>
      </c>
      <c r="P21" s="4">
        <f t="shared" si="0"/>
        <v>3.5048970109896</v>
      </c>
      <c r="Q21" s="4">
        <v>3.4302801947251001E-2</v>
      </c>
      <c r="R21" s="4">
        <v>0.15790000000000001</v>
      </c>
      <c r="S21" s="4">
        <v>1.1682990036631999</v>
      </c>
    </row>
    <row r="22" spans="1:19" x14ac:dyDescent="0.3">
      <c r="A22" s="4">
        <v>0</v>
      </c>
      <c r="B22" s="4">
        <v>7.7327323776279</v>
      </c>
      <c r="C22" s="4">
        <v>0</v>
      </c>
      <c r="D22" s="4">
        <v>981.22113574279001</v>
      </c>
      <c r="E22" s="4">
        <v>0</v>
      </c>
      <c r="F22" s="4">
        <v>0</v>
      </c>
      <c r="G22" s="4">
        <v>0</v>
      </c>
      <c r="H22" s="4">
        <v>4.1818591934659997E-3</v>
      </c>
      <c r="I22" s="4">
        <v>4.1818590681195998E-3</v>
      </c>
      <c r="J22" s="4">
        <v>1039.2105509370999</v>
      </c>
      <c r="K22" s="4">
        <v>18.400025091922</v>
      </c>
      <c r="L22" s="4">
        <v>0.56000000000002004</v>
      </c>
      <c r="M22" s="4">
        <v>1.9197</v>
      </c>
      <c r="N22" s="4">
        <v>0.55832545644103004</v>
      </c>
      <c r="O22" s="4">
        <v>32.717489999999998</v>
      </c>
      <c r="P22" s="4">
        <f t="shared" si="0"/>
        <v>3.5048970109899003</v>
      </c>
      <c r="Q22" s="4">
        <v>3.4320482694725998E-2</v>
      </c>
      <c r="R22" s="4">
        <v>0.15790000000000001</v>
      </c>
      <c r="S22" s="4">
        <v>1.1682990036633001</v>
      </c>
    </row>
    <row r="23" spans="1:19" x14ac:dyDescent="0.3">
      <c r="A23" s="4">
        <v>-5</v>
      </c>
      <c r="B23" s="4">
        <v>7.4917462470554002</v>
      </c>
      <c r="C23" s="4">
        <v>334.81789901324998</v>
      </c>
      <c r="D23" s="4">
        <v>646.40432524800997</v>
      </c>
      <c r="E23" s="4">
        <v>0</v>
      </c>
      <c r="F23" s="4">
        <v>0</v>
      </c>
      <c r="G23" s="4">
        <v>0</v>
      </c>
      <c r="H23" s="4">
        <v>1.1875699464671E-2</v>
      </c>
      <c r="I23" s="4">
        <v>334.83087123647999</v>
      </c>
      <c r="J23" s="4">
        <v>704.38386155966998</v>
      </c>
      <c r="K23" s="4">
        <v>18.400025091905999</v>
      </c>
      <c r="L23" s="4">
        <v>0.55999999999960004</v>
      </c>
      <c r="M23" s="4">
        <v>1.9196999999985001</v>
      </c>
      <c r="N23" s="4">
        <v>0.55524460888592997</v>
      </c>
      <c r="O23" s="4">
        <v>32.717489999971001</v>
      </c>
      <c r="P23" s="4">
        <f t="shared" si="0"/>
        <v>3.5048970109875004</v>
      </c>
      <c r="Q23" s="4">
        <v>3.3397173922174998E-2</v>
      </c>
      <c r="R23" s="4">
        <v>0.15789999999986001</v>
      </c>
      <c r="S23" s="4">
        <v>1.1682990036625001</v>
      </c>
    </row>
    <row r="24" spans="1:19" x14ac:dyDescent="0.3">
      <c r="A24" s="4">
        <v>-10</v>
      </c>
      <c r="B24" s="4">
        <v>6.9675864652247999</v>
      </c>
      <c r="C24" s="4">
        <v>633.65359721446998</v>
      </c>
      <c r="D24" s="4">
        <v>343.75811604514001</v>
      </c>
      <c r="E24" s="4">
        <v>6.8219224732971</v>
      </c>
      <c r="F24" s="4">
        <v>0</v>
      </c>
      <c r="G24" s="4">
        <v>0</v>
      </c>
      <c r="H24" s="4">
        <v>3.4898616309836997E-2</v>
      </c>
      <c r="I24" s="4">
        <v>640.51250769605997</v>
      </c>
      <c r="J24" s="4">
        <v>398.70222510010001</v>
      </c>
      <c r="K24" s="4">
        <v>17.426483862577999</v>
      </c>
      <c r="L24" s="4">
        <v>0.55999999999990002</v>
      </c>
      <c r="M24" s="4">
        <v>1.9196999999997999</v>
      </c>
      <c r="N24" s="4">
        <v>0.54602553303317003</v>
      </c>
      <c r="O24" s="4">
        <v>32.717489999992999</v>
      </c>
      <c r="P24" s="4">
        <f t="shared" si="0"/>
        <v>1.4680826347395901</v>
      </c>
      <c r="Q24" s="4">
        <v>3.0634280445926001E-2</v>
      </c>
      <c r="R24" s="4">
        <v>0.15789999999997001</v>
      </c>
      <c r="S24" s="4">
        <v>0.48936087824653002</v>
      </c>
    </row>
    <row r="25" spans="1:19" x14ac:dyDescent="0.3">
      <c r="A25" s="4">
        <v>-15</v>
      </c>
      <c r="B25" s="4">
        <v>6.6571698333888003</v>
      </c>
      <c r="C25" s="4">
        <v>730.33495619005998</v>
      </c>
      <c r="D25" s="4">
        <v>245.39947166070999</v>
      </c>
      <c r="E25" s="4">
        <v>9.8288200470279996</v>
      </c>
      <c r="F25" s="4">
        <v>0</v>
      </c>
      <c r="G25" s="4">
        <v>0</v>
      </c>
      <c r="H25" s="4">
        <v>5.7348688329065999E-2</v>
      </c>
      <c r="I25" s="4">
        <v>740.22353719964997</v>
      </c>
      <c r="J25" s="4">
        <v>298.99119559649</v>
      </c>
      <c r="K25" s="4">
        <v>16.997376265435001</v>
      </c>
      <c r="L25" s="4">
        <v>0.56000000000000005</v>
      </c>
      <c r="M25" s="4">
        <v>1.9197</v>
      </c>
      <c r="N25" s="4">
        <v>0.53703584166412</v>
      </c>
      <c r="O25" s="4">
        <v>32.717489999999998</v>
      </c>
      <c r="P25" s="4">
        <f t="shared" si="0"/>
        <v>0.57031631881191003</v>
      </c>
      <c r="Q25" s="4">
        <v>2.7940131918056998E-2</v>
      </c>
      <c r="R25" s="4">
        <v>0.15790000000000001</v>
      </c>
      <c r="S25" s="4">
        <v>0.19010543960397</v>
      </c>
    </row>
    <row r="26" spans="1:19" x14ac:dyDescent="0.3">
      <c r="A26" s="4">
        <v>-20</v>
      </c>
      <c r="B26" s="4">
        <v>6.4441241544086001</v>
      </c>
      <c r="C26" s="4">
        <v>778.75525144677999</v>
      </c>
      <c r="D26" s="4">
        <v>196.43379216625999</v>
      </c>
      <c r="E26" s="4">
        <v>10.810630518662</v>
      </c>
      <c r="F26" s="4">
        <v>0</v>
      </c>
      <c r="G26" s="4">
        <v>0</v>
      </c>
      <c r="H26" s="4">
        <v>7.7285038218173993E-2</v>
      </c>
      <c r="I26" s="4">
        <v>789.64573989476003</v>
      </c>
      <c r="J26" s="4">
        <v>249.56899290138</v>
      </c>
      <c r="K26" s="4">
        <v>16.857264298863001</v>
      </c>
      <c r="L26" s="4">
        <v>0.55999999999998995</v>
      </c>
      <c r="M26" s="4">
        <v>1.9197</v>
      </c>
      <c r="N26" s="4">
        <v>0.52905272105871004</v>
      </c>
      <c r="O26" s="4">
        <v>32.717489999999003</v>
      </c>
      <c r="P26" s="4">
        <f t="shared" si="0"/>
        <v>0.27717817612682699</v>
      </c>
      <c r="Q26" s="4">
        <v>2.554764570882E-2</v>
      </c>
      <c r="R26" s="4">
        <v>0.15790000000000001</v>
      </c>
      <c r="S26" s="4">
        <v>9.2392725375608997E-2</v>
      </c>
    </row>
    <row r="27" spans="1:19" x14ac:dyDescent="0.3">
      <c r="A27" s="4">
        <v>-25</v>
      </c>
      <c r="B27" s="4">
        <v>6.0883484754583002</v>
      </c>
      <c r="C27" s="4">
        <v>883.55563605186001</v>
      </c>
      <c r="D27" s="4">
        <v>72.623213799444997</v>
      </c>
      <c r="E27" s="4">
        <v>9.4568176785373996</v>
      </c>
      <c r="F27" s="4">
        <v>51.266772692830003</v>
      </c>
      <c r="G27" s="4">
        <v>1.0558296830181999</v>
      </c>
      <c r="H27" s="4">
        <v>0.11188368804697001</v>
      </c>
      <c r="I27" s="4">
        <v>945.44996122806003</v>
      </c>
      <c r="J27" s="4">
        <v>93.764771568075005</v>
      </c>
      <c r="K27" s="4">
        <v>4.5747767194308997</v>
      </c>
      <c r="L27" s="4">
        <v>0.56000000000000005</v>
      </c>
      <c r="M27" s="4">
        <v>1.9197</v>
      </c>
      <c r="N27" s="4">
        <v>0.26942396719946998</v>
      </c>
      <c r="O27" s="4">
        <v>13.478667699014</v>
      </c>
      <c r="P27" s="4">
        <f t="shared" si="0"/>
        <v>9.1459835682690005E-2</v>
      </c>
      <c r="Q27" s="4">
        <v>2.1395592146497E-2</v>
      </c>
      <c r="R27" s="4">
        <v>0.15790000000000001</v>
      </c>
      <c r="S27" s="4">
        <v>3.0486611894229999E-2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Maree, Johannes</dc:creator>
  <cp:lastModifiedBy>More, Kagiso</cp:lastModifiedBy>
  <dcterms:created xsi:type="dcterms:W3CDTF">2026-03-26T21:41:25Z</dcterms:created>
  <dcterms:modified xsi:type="dcterms:W3CDTF">2026-03-27T04:22:13Z</dcterms:modified>
</cp:coreProperties>
</file>